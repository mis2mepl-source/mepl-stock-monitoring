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PL 2" sheetId="1" r:id="rId5"/>
    <sheet state="visible" name="ShaftStub" sheetId="2" r:id="rId6"/>
  </sheets>
  <definedNames/>
  <calcPr/>
</workbook>
</file>

<file path=xl/sharedStrings.xml><?xml version="1.0" encoding="utf-8"?>
<sst xmlns="http://schemas.openxmlformats.org/spreadsheetml/2006/main" count="167" uniqueCount="73">
  <si>
    <t>Sr No</t>
  </si>
  <si>
    <t>MEPL Code</t>
  </si>
  <si>
    <t>Part Name</t>
  </si>
  <si>
    <t>Location</t>
  </si>
  <si>
    <t>Stock</t>
  </si>
  <si>
    <t>F246</t>
  </si>
  <si>
    <t>Stub pin</t>
  </si>
  <si>
    <t>B01</t>
  </si>
  <si>
    <t>B02</t>
  </si>
  <si>
    <t>B353</t>
  </si>
  <si>
    <t>JV111010</t>
  </si>
  <si>
    <t>B03</t>
  </si>
  <si>
    <t>F340</t>
  </si>
  <si>
    <t>F757</t>
  </si>
  <si>
    <t>B16</t>
  </si>
  <si>
    <t>B17</t>
  </si>
  <si>
    <t>F429</t>
  </si>
  <si>
    <t>B18</t>
  </si>
  <si>
    <t>F428</t>
  </si>
  <si>
    <t>B352</t>
  </si>
  <si>
    <t>JY111011</t>
  </si>
  <si>
    <t>White plate</t>
  </si>
  <si>
    <t>B31</t>
  </si>
  <si>
    <t>B583</t>
  </si>
  <si>
    <t>PF111038</t>
  </si>
  <si>
    <t>B32</t>
  </si>
  <si>
    <t>Yellow plate</t>
  </si>
  <si>
    <t>B33</t>
  </si>
  <si>
    <t>B077</t>
  </si>
  <si>
    <t>JN111002</t>
  </si>
  <si>
    <t>JV111011</t>
  </si>
  <si>
    <t>A33</t>
  </si>
  <si>
    <t>A32</t>
  </si>
  <si>
    <t>A31</t>
  </si>
  <si>
    <t>A18</t>
  </si>
  <si>
    <t>PL-04 | PL-05</t>
  </si>
  <si>
    <t>A16</t>
  </si>
  <si>
    <t>JY111010</t>
  </si>
  <si>
    <t>A17</t>
  </si>
  <si>
    <t>A03</t>
  </si>
  <si>
    <t>A02</t>
  </si>
  <si>
    <t>A01</t>
  </si>
  <si>
    <t>C002</t>
  </si>
  <si>
    <t>PA181352</t>
  </si>
  <si>
    <t>Null</t>
  </si>
  <si>
    <t>PL-06 | PL-08 |</t>
  </si>
  <si>
    <t>PL-07</t>
  </si>
  <si>
    <t>MEPL Code / Part</t>
  </si>
  <si>
    <t>Description</t>
  </si>
  <si>
    <t>Total Nos</t>
  </si>
  <si>
    <t>Shaft</t>
  </si>
  <si>
    <t>144 × 250</t>
  </si>
  <si>
    <t>58 × 250</t>
  </si>
  <si>
    <t>16 × 250</t>
  </si>
  <si>
    <t>White Plate</t>
  </si>
  <si>
    <t>-</t>
  </si>
  <si>
    <t>210 ×1000</t>
  </si>
  <si>
    <t>2,10,000</t>
  </si>
  <si>
    <t>Yellow Plate</t>
  </si>
  <si>
    <t>170 × 1000</t>
  </si>
  <si>
    <t>1,70,000</t>
  </si>
  <si>
    <t>Stub Pin</t>
  </si>
  <si>
    <t>191 × 500</t>
  </si>
  <si>
    <t>104 × 500</t>
  </si>
  <si>
    <t>66 × 500</t>
  </si>
  <si>
    <t>53 × 500</t>
  </si>
  <si>
    <t>69 × 500</t>
  </si>
  <si>
    <t>71 × 500</t>
  </si>
  <si>
    <t>14 × 3840</t>
  </si>
  <si>
    <t>46 × 500</t>
  </si>
  <si>
    <t>H2405</t>
  </si>
  <si>
    <t>Bolt</t>
  </si>
  <si>
    <t>79 × 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</si>
</sst>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horizontal="right"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4" fillId="0" fontId="3" numFmtId="0" xfId="0" applyBorder="1" applyFont="1"/>
    <xf borderId="4" fillId="0" fontId="2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right" readingOrder="0"/>
    </xf>
    <xf borderId="4" fillId="0" fontId="2" numFmtId="0" xfId="0" applyAlignment="1" applyBorder="1" applyFont="1">
      <alignment readingOrder="0"/>
    </xf>
    <xf borderId="4" fillId="0" fontId="2" numFmtId="3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  <col customWidth="1" min="5" max="5" width="13.7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</row>
    <row r="3">
      <c r="A3" s="3">
        <v>1.0</v>
      </c>
      <c r="B3" s="4" t="s">
        <v>5</v>
      </c>
      <c r="C3" s="4" t="s">
        <v>6</v>
      </c>
      <c r="D3" s="4" t="s">
        <v>7</v>
      </c>
      <c r="E3" s="5">
        <f t="shared" ref="E3:E4" si="1">50*500</f>
        <v>25000</v>
      </c>
    </row>
    <row r="4">
      <c r="A4" s="6">
        <v>2.0</v>
      </c>
      <c r="B4" s="7" t="s">
        <v>5</v>
      </c>
      <c r="C4" s="7" t="s">
        <v>6</v>
      </c>
      <c r="D4" s="7" t="s">
        <v>8</v>
      </c>
      <c r="E4" s="5">
        <f t="shared" si="1"/>
        <v>25000</v>
      </c>
    </row>
    <row r="5">
      <c r="A5" s="6">
        <v>3.0</v>
      </c>
      <c r="B5" s="7" t="s">
        <v>9</v>
      </c>
      <c r="C5" s="7" t="s">
        <v>10</v>
      </c>
      <c r="D5" s="7" t="s">
        <v>11</v>
      </c>
      <c r="E5" s="5">
        <f>8*250</f>
        <v>2000</v>
      </c>
    </row>
    <row r="6">
      <c r="A6" s="6">
        <v>4.0</v>
      </c>
      <c r="B6" s="7" t="s">
        <v>12</v>
      </c>
      <c r="C6" s="7" t="s">
        <v>6</v>
      </c>
      <c r="D6" s="7" t="s">
        <v>7</v>
      </c>
      <c r="E6" s="5">
        <f>50*500</f>
        <v>25000</v>
      </c>
    </row>
    <row r="7">
      <c r="A7" s="6">
        <v>5.0</v>
      </c>
      <c r="B7" s="7" t="s">
        <v>12</v>
      </c>
      <c r="C7" s="7" t="s">
        <v>6</v>
      </c>
      <c r="D7" s="7" t="s">
        <v>8</v>
      </c>
      <c r="E7" s="5">
        <f>19*500</f>
        <v>9500</v>
      </c>
    </row>
    <row r="8">
      <c r="A8" s="6">
        <v>6.0</v>
      </c>
      <c r="B8" s="7" t="s">
        <v>9</v>
      </c>
      <c r="C8" s="7" t="s">
        <v>10</v>
      </c>
      <c r="D8" s="7" t="s">
        <v>11</v>
      </c>
      <c r="E8" s="5">
        <f>25*250</f>
        <v>6250</v>
      </c>
    </row>
    <row r="9">
      <c r="A9" s="6">
        <v>7.0</v>
      </c>
      <c r="B9" s="7" t="s">
        <v>13</v>
      </c>
      <c r="C9" s="7" t="s">
        <v>6</v>
      </c>
      <c r="D9" s="7" t="s">
        <v>14</v>
      </c>
      <c r="E9" s="5">
        <f>46*500</f>
        <v>23000</v>
      </c>
    </row>
    <row r="10">
      <c r="A10" s="6">
        <v>8.0</v>
      </c>
      <c r="B10" s="7" t="s">
        <v>5</v>
      </c>
      <c r="C10" s="7" t="s">
        <v>6</v>
      </c>
      <c r="D10" s="7" t="s">
        <v>15</v>
      </c>
      <c r="E10" s="5">
        <f>41*500</f>
        <v>20500</v>
      </c>
    </row>
    <row r="11">
      <c r="A11" s="6">
        <v>9.0</v>
      </c>
      <c r="B11" s="7" t="s">
        <v>16</v>
      </c>
      <c r="C11" s="7" t="s">
        <v>6</v>
      </c>
      <c r="D11" s="7" t="s">
        <v>17</v>
      </c>
      <c r="E11" s="5">
        <f>16*500</f>
        <v>8000</v>
      </c>
    </row>
    <row r="12">
      <c r="A12" s="3">
        <v>10.0</v>
      </c>
      <c r="B12" s="7" t="s">
        <v>18</v>
      </c>
      <c r="C12" s="7" t="s">
        <v>6</v>
      </c>
      <c r="D12" s="7" t="s">
        <v>14</v>
      </c>
      <c r="E12" s="5">
        <f>21*500</f>
        <v>10500</v>
      </c>
    </row>
    <row r="13">
      <c r="A13" s="6">
        <v>11.0</v>
      </c>
      <c r="B13" s="7" t="s">
        <v>18</v>
      </c>
      <c r="C13" s="7" t="s">
        <v>6</v>
      </c>
      <c r="D13" s="7" t="s">
        <v>15</v>
      </c>
      <c r="E13" s="5">
        <f>50*500</f>
        <v>25000</v>
      </c>
    </row>
    <row r="14">
      <c r="A14" s="6">
        <v>12.0</v>
      </c>
      <c r="B14" s="7" t="s">
        <v>19</v>
      </c>
      <c r="C14" s="7" t="s">
        <v>20</v>
      </c>
      <c r="D14" s="7" t="s">
        <v>17</v>
      </c>
      <c r="E14" s="5">
        <f>30*250</f>
        <v>7500</v>
      </c>
    </row>
    <row r="15">
      <c r="A15" s="6">
        <v>13.0</v>
      </c>
      <c r="B15" s="7" t="s">
        <v>19</v>
      </c>
      <c r="C15" s="7" t="s">
        <v>21</v>
      </c>
      <c r="D15" s="7" t="s">
        <v>22</v>
      </c>
      <c r="E15" s="5">
        <f>43*1000</f>
        <v>43000</v>
      </c>
    </row>
    <row r="16">
      <c r="A16" s="6">
        <v>14.0</v>
      </c>
      <c r="B16" s="7" t="s">
        <v>23</v>
      </c>
      <c r="C16" s="7" t="s">
        <v>24</v>
      </c>
      <c r="D16" s="7" t="s">
        <v>25</v>
      </c>
      <c r="E16" s="5">
        <f>37*250</f>
        <v>9250</v>
      </c>
    </row>
    <row r="17">
      <c r="A17" s="6">
        <v>15.0</v>
      </c>
      <c r="B17" s="7" t="s">
        <v>19</v>
      </c>
      <c r="C17" s="7" t="s">
        <v>26</v>
      </c>
      <c r="D17" s="7" t="s">
        <v>27</v>
      </c>
      <c r="E17" s="5">
        <f>50*1000</f>
        <v>50000</v>
      </c>
    </row>
    <row r="18">
      <c r="A18" s="6">
        <v>16.0</v>
      </c>
      <c r="B18" s="7" t="s">
        <v>28</v>
      </c>
      <c r="C18" s="7" t="s">
        <v>29</v>
      </c>
      <c r="D18" s="7" t="s">
        <v>22</v>
      </c>
      <c r="E18" s="5">
        <f>16*250</f>
        <v>4000</v>
      </c>
    </row>
    <row r="19">
      <c r="A19" s="6">
        <v>17.0</v>
      </c>
      <c r="B19" s="7" t="s">
        <v>19</v>
      </c>
      <c r="C19" s="7" t="s">
        <v>30</v>
      </c>
      <c r="D19" s="7" t="s">
        <v>25</v>
      </c>
      <c r="E19" s="5">
        <f>48*250</f>
        <v>12000</v>
      </c>
    </row>
    <row r="20">
      <c r="A20" s="6">
        <v>18.0</v>
      </c>
      <c r="B20" s="7" t="s">
        <v>19</v>
      </c>
      <c r="C20" s="7" t="s">
        <v>26</v>
      </c>
      <c r="D20" s="7" t="s">
        <v>31</v>
      </c>
      <c r="E20" s="5">
        <f t="shared" ref="E20:E21" si="2">50*1000</f>
        <v>50000</v>
      </c>
    </row>
    <row r="21">
      <c r="A21" s="3">
        <v>19.0</v>
      </c>
      <c r="B21" s="7" t="s">
        <v>19</v>
      </c>
      <c r="C21" s="7" t="s">
        <v>26</v>
      </c>
      <c r="D21" s="7" t="s">
        <v>32</v>
      </c>
      <c r="E21" s="5">
        <f t="shared" si="2"/>
        <v>50000</v>
      </c>
    </row>
    <row r="22">
      <c r="A22" s="6">
        <v>20.0</v>
      </c>
      <c r="B22" s="7" t="s">
        <v>19</v>
      </c>
      <c r="C22" s="7" t="s">
        <v>21</v>
      </c>
      <c r="D22" s="7" t="s">
        <v>33</v>
      </c>
      <c r="E22" s="5">
        <f>10*1000</f>
        <v>10000</v>
      </c>
    </row>
    <row r="23">
      <c r="A23" s="6">
        <v>21.0</v>
      </c>
      <c r="B23" s="7" t="s">
        <v>19</v>
      </c>
      <c r="C23" s="7" t="s">
        <v>21</v>
      </c>
      <c r="D23" s="7" t="s">
        <v>31</v>
      </c>
      <c r="E23" s="5">
        <f>11*1000</f>
        <v>11000</v>
      </c>
    </row>
    <row r="24">
      <c r="A24" s="6">
        <v>22.0</v>
      </c>
      <c r="B24" s="7" t="s">
        <v>19</v>
      </c>
      <c r="C24" s="7" t="s">
        <v>20</v>
      </c>
      <c r="D24" s="7" t="s">
        <v>32</v>
      </c>
      <c r="E24" s="5">
        <f>50*250</f>
        <v>12500</v>
      </c>
    </row>
    <row r="25">
      <c r="A25" s="6">
        <v>23.0</v>
      </c>
      <c r="B25" s="7" t="s">
        <v>19</v>
      </c>
      <c r="C25" s="7" t="s">
        <v>26</v>
      </c>
      <c r="D25" s="7" t="s">
        <v>33</v>
      </c>
      <c r="E25" s="5">
        <f>20*1000</f>
        <v>20000</v>
      </c>
    </row>
    <row r="26">
      <c r="A26" s="6">
        <v>24.0</v>
      </c>
      <c r="B26" s="7" t="s">
        <v>16</v>
      </c>
      <c r="C26" s="7" t="s">
        <v>6</v>
      </c>
      <c r="D26" s="7" t="s">
        <v>34</v>
      </c>
      <c r="E26" s="5">
        <f>50*500</f>
        <v>25000</v>
      </c>
    </row>
    <row r="27">
      <c r="A27" s="6">
        <v>25.0</v>
      </c>
      <c r="B27" s="7" t="s">
        <v>5</v>
      </c>
      <c r="C27" s="7" t="s">
        <v>6</v>
      </c>
      <c r="D27" s="7" t="s">
        <v>35</v>
      </c>
      <c r="E27" s="5">
        <f>52*1000</f>
        <v>52000</v>
      </c>
    </row>
    <row r="28">
      <c r="A28" s="6">
        <v>26.0</v>
      </c>
      <c r="B28" s="7" t="s">
        <v>19</v>
      </c>
      <c r="C28" s="7" t="s">
        <v>20</v>
      </c>
      <c r="D28" s="7" t="s">
        <v>36</v>
      </c>
      <c r="E28" s="5">
        <f>16*250</f>
        <v>4000</v>
      </c>
    </row>
    <row r="29">
      <c r="A29" s="6">
        <v>27.0</v>
      </c>
      <c r="B29" s="7" t="s">
        <v>9</v>
      </c>
      <c r="C29" s="7" t="s">
        <v>37</v>
      </c>
      <c r="D29" s="7" t="s">
        <v>34</v>
      </c>
      <c r="E29" s="5">
        <f>23*250</f>
        <v>5750</v>
      </c>
    </row>
    <row r="30">
      <c r="A30" s="3">
        <v>28.0</v>
      </c>
      <c r="B30" s="7" t="s">
        <v>9</v>
      </c>
      <c r="C30" s="7" t="s">
        <v>21</v>
      </c>
      <c r="D30" s="7" t="s">
        <v>38</v>
      </c>
      <c r="E30" s="5">
        <f t="shared" ref="E30:E31" si="3">48*1000</f>
        <v>48000</v>
      </c>
    </row>
    <row r="31">
      <c r="A31" s="6">
        <v>29.0</v>
      </c>
      <c r="B31" s="7" t="s">
        <v>9</v>
      </c>
      <c r="C31" s="7" t="s">
        <v>21</v>
      </c>
      <c r="D31" s="7" t="s">
        <v>36</v>
      </c>
      <c r="E31" s="5">
        <f t="shared" si="3"/>
        <v>48000</v>
      </c>
    </row>
    <row r="32">
      <c r="A32" s="6">
        <v>30.0</v>
      </c>
      <c r="B32" s="7" t="s">
        <v>5</v>
      </c>
      <c r="C32" s="7" t="s">
        <v>6</v>
      </c>
      <c r="D32" s="7" t="s">
        <v>39</v>
      </c>
      <c r="E32" s="5">
        <f>50*500</f>
        <v>25000</v>
      </c>
    </row>
    <row r="33">
      <c r="A33" s="6">
        <v>31.0</v>
      </c>
      <c r="B33" s="7" t="s">
        <v>9</v>
      </c>
      <c r="C33" s="7" t="s">
        <v>37</v>
      </c>
      <c r="D33" s="7" t="s">
        <v>40</v>
      </c>
      <c r="E33" s="5">
        <f>50*250</f>
        <v>12500</v>
      </c>
    </row>
    <row r="34">
      <c r="A34" s="6">
        <v>32.0</v>
      </c>
      <c r="B34" s="7" t="s">
        <v>9</v>
      </c>
      <c r="C34" s="7" t="s">
        <v>37</v>
      </c>
      <c r="D34" s="7" t="s">
        <v>41</v>
      </c>
      <c r="E34" s="5">
        <f>38*250</f>
        <v>9500</v>
      </c>
    </row>
    <row r="35">
      <c r="A35" s="6">
        <v>33.0</v>
      </c>
      <c r="B35" s="7" t="s">
        <v>9</v>
      </c>
      <c r="C35" s="7" t="s">
        <v>21</v>
      </c>
      <c r="D35" s="7" t="s">
        <v>39</v>
      </c>
      <c r="E35" s="5">
        <f>50*1000</f>
        <v>50000</v>
      </c>
    </row>
    <row r="36">
      <c r="A36" s="6">
        <v>34.0</v>
      </c>
      <c r="B36" s="7" t="s">
        <v>23</v>
      </c>
      <c r="C36" s="7" t="s">
        <v>24</v>
      </c>
      <c r="D36" s="7" t="s">
        <v>40</v>
      </c>
      <c r="E36" s="5">
        <f>21*250</f>
        <v>5250</v>
      </c>
    </row>
    <row r="37">
      <c r="A37" s="6">
        <v>35.0</v>
      </c>
      <c r="B37" s="7" t="s">
        <v>42</v>
      </c>
      <c r="C37" s="7" t="s">
        <v>43</v>
      </c>
      <c r="D37" s="7" t="s">
        <v>41</v>
      </c>
      <c r="E37" s="5">
        <f>8*3840</f>
        <v>30720</v>
      </c>
    </row>
    <row r="38">
      <c r="A38" s="6">
        <v>36.0</v>
      </c>
      <c r="B38" s="7" t="s">
        <v>44</v>
      </c>
      <c r="C38" s="6">
        <v>42406.0</v>
      </c>
      <c r="D38" s="7" t="s">
        <v>45</v>
      </c>
      <c r="E38" s="5">
        <f>(38*400)+(41*400)</f>
        <v>31600</v>
      </c>
    </row>
    <row r="39">
      <c r="A39" s="3">
        <v>37.0</v>
      </c>
      <c r="B39" s="7" t="s">
        <v>16</v>
      </c>
      <c r="C39" s="7" t="s">
        <v>6</v>
      </c>
      <c r="D39" s="7" t="s">
        <v>46</v>
      </c>
      <c r="E39" s="5">
        <f>53*501</f>
        <v>26553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4.25"/>
    <col customWidth="1" min="3" max="3" width="9.75"/>
    <col customWidth="1" min="4" max="4" width="9.25"/>
    <col customWidth="1" min="5" max="5" width="8.0"/>
  </cols>
  <sheetData>
    <row r="2">
      <c r="A2" s="8" t="s">
        <v>0</v>
      </c>
      <c r="B2" s="8" t="s">
        <v>47</v>
      </c>
      <c r="C2" s="8" t="s">
        <v>48</v>
      </c>
      <c r="D2" s="8" t="s">
        <v>4</v>
      </c>
      <c r="E2" s="8" t="s">
        <v>49</v>
      </c>
    </row>
    <row r="3">
      <c r="A3" s="9">
        <v>1.0</v>
      </c>
      <c r="B3" s="10" t="s">
        <v>10</v>
      </c>
      <c r="C3" s="10" t="s">
        <v>50</v>
      </c>
      <c r="D3" s="10" t="s">
        <v>51</v>
      </c>
      <c r="E3" s="11">
        <v>36000.0</v>
      </c>
    </row>
    <row r="4">
      <c r="A4" s="9">
        <v>2.0</v>
      </c>
      <c r="B4" s="10" t="s">
        <v>30</v>
      </c>
      <c r="C4" s="10" t="s">
        <v>50</v>
      </c>
      <c r="D4" s="10" t="s">
        <v>51</v>
      </c>
      <c r="E4" s="11">
        <v>36000.0</v>
      </c>
    </row>
    <row r="5">
      <c r="A5" s="9">
        <v>3.0</v>
      </c>
      <c r="B5" s="10" t="s">
        <v>24</v>
      </c>
      <c r="C5" s="10" t="s">
        <v>50</v>
      </c>
      <c r="D5" s="10" t="s">
        <v>52</v>
      </c>
      <c r="E5" s="11">
        <v>14500.0</v>
      </c>
    </row>
    <row r="6">
      <c r="A6" s="9">
        <v>4.0</v>
      </c>
      <c r="B6" s="10" t="s">
        <v>29</v>
      </c>
      <c r="C6" s="10" t="s">
        <v>50</v>
      </c>
      <c r="D6" s="10" t="s">
        <v>53</v>
      </c>
      <c r="E6" s="11">
        <v>4000.0</v>
      </c>
    </row>
    <row r="7">
      <c r="A7" s="9">
        <v>5.0</v>
      </c>
      <c r="B7" s="10" t="s">
        <v>54</v>
      </c>
      <c r="C7" s="10" t="s">
        <v>55</v>
      </c>
      <c r="D7" s="10" t="s">
        <v>56</v>
      </c>
      <c r="E7" s="10" t="s">
        <v>57</v>
      </c>
    </row>
    <row r="8">
      <c r="A8" s="9">
        <v>6.0</v>
      </c>
      <c r="B8" s="10" t="s">
        <v>58</v>
      </c>
      <c r="C8" s="10" t="s">
        <v>55</v>
      </c>
      <c r="D8" s="10" t="s">
        <v>59</v>
      </c>
      <c r="E8" s="10" t="s">
        <v>60</v>
      </c>
    </row>
    <row r="9">
      <c r="A9" s="9">
        <v>7.0</v>
      </c>
      <c r="B9" s="10" t="s">
        <v>5</v>
      </c>
      <c r="C9" s="10" t="s">
        <v>61</v>
      </c>
      <c r="D9" s="10" t="s">
        <v>62</v>
      </c>
      <c r="E9" s="11">
        <v>95500.0</v>
      </c>
    </row>
    <row r="10">
      <c r="A10" s="9">
        <v>8.0</v>
      </c>
      <c r="B10" s="10" t="s">
        <v>5</v>
      </c>
      <c r="C10" s="10" t="s">
        <v>61</v>
      </c>
      <c r="D10" s="10" t="s">
        <v>63</v>
      </c>
      <c r="E10" s="11">
        <v>52000.0</v>
      </c>
    </row>
    <row r="11">
      <c r="A11" s="9">
        <v>9.0</v>
      </c>
      <c r="B11" s="10" t="s">
        <v>16</v>
      </c>
      <c r="C11" s="10" t="s">
        <v>61</v>
      </c>
      <c r="D11" s="10" t="s">
        <v>64</v>
      </c>
      <c r="E11" s="11">
        <v>33000.0</v>
      </c>
    </row>
    <row r="12">
      <c r="A12" s="9">
        <v>10.0</v>
      </c>
      <c r="B12" s="10" t="s">
        <v>16</v>
      </c>
      <c r="C12" s="10" t="s">
        <v>61</v>
      </c>
      <c r="D12" s="10" t="s">
        <v>65</v>
      </c>
      <c r="E12" s="11">
        <v>26500.0</v>
      </c>
    </row>
    <row r="13">
      <c r="A13" s="9">
        <v>11.0</v>
      </c>
      <c r="B13" s="10" t="s">
        <v>12</v>
      </c>
      <c r="C13" s="10" t="s">
        <v>61</v>
      </c>
      <c r="D13" s="10" t="s">
        <v>66</v>
      </c>
      <c r="E13" s="11">
        <v>34500.0</v>
      </c>
    </row>
    <row r="14">
      <c r="A14" s="9">
        <v>12.0</v>
      </c>
      <c r="B14" s="10" t="s">
        <v>18</v>
      </c>
      <c r="C14" s="10" t="s">
        <v>61</v>
      </c>
      <c r="D14" s="10" t="s">
        <v>67</v>
      </c>
      <c r="E14" s="11">
        <v>35500.0</v>
      </c>
    </row>
    <row r="15">
      <c r="A15" s="9">
        <v>13.0</v>
      </c>
      <c r="B15" s="10" t="s">
        <v>43</v>
      </c>
      <c r="C15" s="10" t="s">
        <v>55</v>
      </c>
      <c r="D15" s="10" t="s">
        <v>68</v>
      </c>
      <c r="E15" s="11">
        <v>53760.0</v>
      </c>
    </row>
    <row r="16">
      <c r="A16" s="9">
        <v>14.0</v>
      </c>
      <c r="B16" s="10" t="s">
        <v>13</v>
      </c>
      <c r="C16" s="10" t="s">
        <v>61</v>
      </c>
      <c r="D16" s="10" t="s">
        <v>69</v>
      </c>
      <c r="E16" s="11">
        <v>23000.0</v>
      </c>
    </row>
    <row r="17">
      <c r="A17" s="9">
        <v>15.0</v>
      </c>
      <c r="B17" s="10" t="s">
        <v>70</v>
      </c>
      <c r="C17" s="10" t="s">
        <v>71</v>
      </c>
      <c r="D17" s="10" t="s">
        <v>72</v>
      </c>
      <c r="E17" s="11">
        <v>31600.0</v>
      </c>
    </row>
  </sheetData>
  <drawing r:id="rId1"/>
</worksheet>
</file>